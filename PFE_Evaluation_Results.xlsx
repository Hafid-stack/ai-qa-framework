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Protocol" sheetId="2" state="visible" r:id="rId2"/>
    <sheet xmlns:r="http://schemas.openxmlformats.org/officeDocument/2006/relationships" name="Metrics" sheetId="3" state="visible" r:id="rId3"/>
    <sheet xmlns:r="http://schemas.openxmlformats.org/officeDocument/2006/relationships" name="Results" sheetId="4" state="visible" r:id="rId4"/>
    <sheet xmlns:r="http://schemas.openxmlformats.org/officeDocument/2006/relationships" name="Determinism" sheetId="5" state="visible" r:id="rId5"/>
    <sheet xmlns:r="http://schemas.openxmlformats.org/officeDocument/2006/relationships" name="Cost" sheetId="6" state="visible" r:id="rId6"/>
    <sheet xmlns:r="http://schemas.openxmlformats.org/officeDocument/2006/relationships" name="Defect Log"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i val="1"/>
      <color rgb="FF555555"/>
      <sz val="9"/>
    </font>
    <font>
      <name val="Arial"/>
      <charset val="1"/>
      <family val="0"/>
      <b val="1"/>
      <sz val="10"/>
    </font>
    <font>
      <name val="Arial"/>
      <charset val="1"/>
      <family val="0"/>
      <sz val="10"/>
    </font>
    <font>
      <name val="Arial"/>
      <charset val="1"/>
      <family val="0"/>
      <b val="1"/>
      <color rgb="FFFFFFFF"/>
      <sz val="11"/>
    </font>
    <font>
      <name val="Arial"/>
      <charset val="1"/>
      <family val="0"/>
      <b val="1"/>
      <color rgb="FFFFFFFF"/>
      <sz val="14"/>
    </font>
  </fonts>
  <fills count="7">
    <fill>
      <patternFill/>
    </fill>
    <fill>
      <patternFill patternType="gray125"/>
    </fill>
    <fill>
      <patternFill patternType="solid">
        <fgColor rgb="FF2E5EAA"/>
        <bgColor rgb="FF3366FF"/>
      </patternFill>
    </fill>
    <fill>
      <patternFill patternType="solid">
        <fgColor rgb="FFFFF2CC"/>
        <bgColor rgb="FFE2EFDA"/>
      </patternFill>
    </fill>
    <fill>
      <patternFill patternType="solid">
        <fgColor rgb="FFE8F0FE"/>
        <bgColor rgb="FFE2EFDA"/>
      </patternFill>
    </fill>
    <fill>
      <patternFill patternType="solid">
        <fgColor rgb="FFE2EFDA"/>
        <bgColor rgb="FFE8F0FE"/>
      </patternFill>
    </fill>
    <fill>
      <patternFill patternType="solid">
        <fgColor rgb="FF1F3864"/>
        <bgColor rgb="FF333333"/>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0" fillId="2" borderId="0" applyAlignment="1" pivotButton="0" quotePrefix="0" xfId="0">
      <alignment horizontal="general" vertical="bottom"/>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9" fillId="6" borderId="0" applyAlignment="1" pivotButton="0" quotePrefix="0" xfId="0">
      <alignment horizontal="general" vertical="bottom"/>
    </xf>
    <xf numFmtId="0" fontId="6" fillId="0" borderId="0" applyAlignment="1" pivotButton="0" quotePrefix="0" xfId="0">
      <alignment horizontal="general" vertical="top" wrapText="1"/>
    </xf>
    <xf numFmtId="0" fontId="8" fillId="6" borderId="1" applyAlignment="1" pivotButton="0" quotePrefix="0" xfId="0">
      <alignment horizontal="center" vertical="center"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3" borderId="1" applyAlignment="1" pivotButton="0" quotePrefix="0" xfId="0">
      <alignment horizontal="center" vertical="center" wrapText="1"/>
    </xf>
    <xf numFmtId="164" fontId="7"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general" vertical="top" wrapText="1"/>
    </xf>
    <xf numFmtId="0" fontId="7" fillId="3" borderId="1" applyAlignment="1" pivotButton="0" quotePrefix="0" xfId="0">
      <alignment horizontal="general" vertical="top" wrapText="1"/>
    </xf>
    <xf numFmtId="0" fontId="6" fillId="4" borderId="1" applyAlignment="1" pivotButton="0" quotePrefix="0" xfId="0">
      <alignment horizontal="center" vertical="center" wrapText="1"/>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2" borderId="0" applyAlignment="1" pivotButton="0" quotePrefix="0" xfId="0">
      <alignment horizontal="general" vertical="bottom"/>
    </xf>
    <xf numFmtId="0" fontId="0" fillId="2" borderId="0" applyAlignment="1" pivotButton="0" quotePrefix="0" xfId="0">
      <alignment horizontal="general" vertical="bottom"/>
    </xf>
    <xf numFmtId="0" fontId="7" fillId="3" borderId="0" applyAlignment="1" pivotButton="0" quotePrefix="0" xfId="0">
      <alignment horizontal="general" vertical="top" wrapText="1"/>
    </xf>
    <xf numFmtId="0" fontId="7" fillId="4" borderId="0" applyAlignment="1" pivotButton="0" quotePrefix="0" xfId="0">
      <alignment horizontal="general" vertical="top" wrapText="1"/>
    </xf>
    <xf numFmtId="0" fontId="7" fillId="5" borderId="0" applyAlignment="1" pivotButton="0" quotePrefix="0" xfId="0">
      <alignment horizontal="general" vertical="top" wrapText="1"/>
    </xf>
    <xf numFmtId="0" fontId="9" fillId="6" borderId="0" applyAlignment="1" pivotButton="0" quotePrefix="0" xfId="0">
      <alignment horizontal="general" vertical="bottom"/>
    </xf>
    <xf numFmtId="0" fontId="6" fillId="0" borderId="0" applyAlignment="1" pivotButton="0" quotePrefix="0" xfId="0">
      <alignment horizontal="general" vertical="top" wrapText="1"/>
    </xf>
    <xf numFmtId="0" fontId="8" fillId="6" borderId="1" applyAlignment="1" pivotButton="0" quotePrefix="0" xfId="0">
      <alignment horizontal="center" vertical="center"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7" fillId="3" borderId="1" applyAlignment="1" pivotButton="0" quotePrefix="0" xfId="0">
      <alignment horizontal="center" vertical="center" wrapText="1"/>
    </xf>
    <xf numFmtId="164" fontId="7"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5" borderId="1" applyAlignment="1" pivotButton="0" quotePrefix="0" xfId="0">
      <alignment horizontal="general" vertical="top" wrapText="1"/>
    </xf>
    <xf numFmtId="0" fontId="7" fillId="3" borderId="1" applyAlignment="1" pivotButton="0" quotePrefix="0" xfId="0">
      <alignment horizontal="general" vertical="top" wrapText="1"/>
    </xf>
    <xf numFmtId="0" fontId="6" fillId="4" borderId="1" applyAlignment="1" pivotButton="0" quotePrefix="0" xfId="0">
      <alignment horizontal="center" vertical="center" wrapText="1"/>
    </xf>
    <xf numFmtId="0" fontId="0" fillId="0" borderId="3" pivotButton="0" quotePrefix="0" xfId="0"/>
    <xf numFmtId="0" fontId="0" fillId="0" borderId="4" pivotButton="0" quotePrefix="0" xfId="0"/>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0" fillId="0" borderId="0" applyAlignment="1" pivotButton="0" quotePrefix="0" xfId="0">
      <alignment vertical="top" wrapText="1"/>
    </xf>
    <xf numFmtId="0" fontId="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FE"/>
      <rgbColor rgb="FF660066"/>
      <rgbColor rgb="FFFF8080"/>
      <rgbColor rgb="FF2E5EAA"/>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5" min="1" max="1"/>
    <col width="30" customWidth="1" style="25" min="2" max="2"/>
    <col width="95" customWidth="1" style="25" min="3" max="3"/>
  </cols>
  <sheetData>
    <row r="1" ht="19.7" customHeight="1" s="26">
      <c r="B1" s="27" t="inlineStr">
        <is>
          <t>PFE EVALUATION WORKBOOK — Pipeline A vs Pipeline B</t>
        </is>
      </c>
    </row>
    <row r="2" ht="15" customHeight="1" s="26">
      <c r="B2" s="28" t="inlineStr">
        <is>
          <t>Abdelhafid — ENSET Mohammedia — Master BDCC</t>
        </is>
      </c>
    </row>
    <row r="4" ht="15" customHeight="1" s="26">
      <c r="B4" s="29" t="n"/>
      <c r="C4" s="30" t="n"/>
    </row>
    <row r="5" ht="15" customHeight="1" s="26">
      <c r="B5" s="31" t="inlineStr">
        <is>
          <t>COLOUR LEGEND</t>
        </is>
      </c>
      <c r="C5" s="32" t="n"/>
    </row>
    <row r="6" ht="15" customHeight="1" s="26">
      <c r="B6" s="29" t="inlineStr">
        <is>
          <t>Yellow cells</t>
        </is>
      </c>
      <c r="C6" s="33" t="inlineStr">
        <is>
          <t>YOU FILL THESE. Measured or manually counted values.</t>
        </is>
      </c>
    </row>
    <row r="7" ht="15" customHeight="1" s="26">
      <c r="B7" s="29" t="inlineStr">
        <is>
          <t>Blue cells</t>
        </is>
      </c>
      <c r="C7" s="34" t="inlineStr">
        <is>
          <t>FORMULAS — do not type over them. They recalculate automatically.</t>
        </is>
      </c>
    </row>
    <row r="8" ht="15" customHeight="1" s="26">
      <c r="B8" s="29" t="inlineStr">
        <is>
          <t>Green cells</t>
        </is>
      </c>
      <c r="C8" s="35" t="inlineStr">
        <is>
          <t>Already filled from the runs of 31 July 2026.</t>
        </is>
      </c>
    </row>
    <row r="9" ht="15" customHeight="1" s="26">
      <c r="B9" s="29" t="n"/>
      <c r="C9" s="30" t="n"/>
    </row>
    <row r="10" ht="15" customHeight="1" s="26">
      <c r="B10" s="31" t="inlineStr">
        <is>
          <t>SHEETS</t>
        </is>
      </c>
      <c r="C10" s="32" t="n"/>
    </row>
    <row r="11" ht="15" customHeight="1" s="26">
      <c r="B11" s="29" t="inlineStr">
        <is>
          <t>1. Protocol</t>
        </is>
      </c>
      <c r="C11" s="30" t="inlineStr">
        <is>
          <t>Exactly how to run each experiment so the results are comparable.</t>
        </is>
      </c>
    </row>
    <row r="12" ht="15" customHeight="1" s="26">
      <c r="B12" s="29" t="inlineStr">
        <is>
          <t>2. Metrics</t>
        </is>
      </c>
      <c r="C12" s="30" t="inlineStr">
        <is>
          <t>Definition of each of the 9 metrics, and how to count it.</t>
        </is>
      </c>
    </row>
    <row r="13" ht="15" customHeight="1" s="26">
      <c r="B13" s="29" t="inlineStr">
        <is>
          <t>3. Results</t>
        </is>
      </c>
      <c r="C13" s="30" t="inlineStr">
        <is>
          <t>MAIN TABLE. One row per (page x pipeline). This is what Chapter VI is built from.</t>
        </is>
      </c>
    </row>
    <row r="14" ht="15" customHeight="1" s="26">
      <c r="B14" s="29" t="inlineStr">
        <is>
          <t>4. Determinism</t>
        </is>
      </c>
      <c r="C14" s="30" t="inlineStr">
        <is>
          <t>3 runs of the same page, same pipeline. Compares output hashes.</t>
        </is>
      </c>
    </row>
    <row r="15" ht="15" customHeight="1" s="26">
      <c r="B15" s="29" t="inlineStr">
        <is>
          <t>5. Cost</t>
        </is>
      </c>
      <c r="C15" s="30" t="inlineStr">
        <is>
          <t>Token and latency measurements per run.</t>
        </is>
      </c>
    </row>
    <row r="16" ht="15" customHeight="1" s="26">
      <c r="B16" s="29" t="inlineStr">
        <is>
          <t>6. Defect Log</t>
        </is>
      </c>
      <c r="C16" s="30" t="inlineStr">
        <is>
          <t>Every concrete defect observed in generated output, with evidence.</t>
        </is>
      </c>
    </row>
    <row r="17" ht="15" customHeight="1" s="26">
      <c r="B17" s="29" t="n"/>
      <c r="C17" s="30" t="n"/>
    </row>
    <row r="18" ht="15" customHeight="1" s="26">
      <c r="B18" s="31" t="inlineStr">
        <is>
          <t>EXPERIMENTAL CONDITIONS</t>
        </is>
      </c>
      <c r="C18" s="32" t="n"/>
    </row>
    <row r="19" ht="15" customHeight="1" s="26">
      <c r="B19" s="29" t="inlineStr">
        <is>
          <t>Model</t>
        </is>
      </c>
      <c r="C19" s="30" t="inlineStr">
        <is>
          <t>gemini-3.1-flash-lite  (NOTE: earlier runs used a different model — do not mix them)</t>
        </is>
      </c>
    </row>
    <row r="20" ht="15" customHeight="1" s="26">
      <c r="B20" s="29" t="inlineStr">
        <is>
          <t>Date of runs</t>
        </is>
      </c>
      <c r="C20" s="30" t="inlineStr">
        <is>
          <t>2026-07-31</t>
        </is>
      </c>
    </row>
    <row r="21" ht="15" customHeight="1" s="26">
      <c r="B21" s="29" t="inlineStr">
        <is>
          <t>Machine</t>
        </is>
      </c>
      <c r="C21" s="30" t="inlineStr">
        <is>
          <t>MacBook Pro, JDK 17, Chrome 150.0.7871.188</t>
        </is>
      </c>
    </row>
    <row r="22" ht="15" customHeight="1" s="26">
      <c r="B22" s="29" t="inlineStr">
        <is>
          <t>Section scope</t>
        </is>
      </c>
      <c r="C22" s="30" t="inlineStr">
        <is>
          <t>Pipeline A run with 'b' (Body only) on page 1. See Protocol sheet — scope must be stated for every row.</t>
        </is>
      </c>
    </row>
    <row r="23" ht="15" customHeight="1" s="26">
      <c r="B23" s="29" t="n"/>
      <c r="C23" s="30" t="n"/>
    </row>
    <row r="24" ht="15" customHeight="1" s="26">
      <c r="B24" s="31" t="inlineStr">
        <is>
          <t>RULE</t>
        </is>
      </c>
      <c r="C24" s="32" t="n"/>
    </row>
    <row r="25" ht="15" customHeight="1" s="26">
      <c r="B25" s="29" t="n"/>
      <c r="C25" s="30" t="inlineStr">
        <is>
          <t>affected row. A jury will ask whether all measurements share the same conditions.</t>
        </is>
      </c>
    </row>
    <row r="27">
      <c r="B27" s="25" t="inlineStr">
        <is>
          <t>OFFLINE REPRODUCTION</t>
        </is>
      </c>
    </row>
    <row r="28">
      <c r="B28" s="25" t="inlineStr">
        <is>
          <t>evaluation/lib/measure.py</t>
        </is>
      </c>
      <c r="C28" s="25" t="inlineStr">
        <is>
          <t>Recomputes M1, M2, M3, M6 and M9 from the committed artefacts. No network.</t>
        </is>
      </c>
    </row>
    <row r="29">
      <c r="B29" s="25" t="inlineStr">
        <is>
          <t>evaluation/check-compilability.sh</t>
        </is>
      </c>
      <c r="C29" s="25" t="inlineStr">
        <is>
          <t>Recomputes M4 against a faithful stub of the Selenium By API.</t>
        </is>
      </c>
    </row>
    <row r="30">
      <c r="B30" s="25" t="inlineStr">
        <is>
          <t>evaluation/results/RESULTS.md</t>
        </is>
      </c>
      <c r="C30" s="25" t="inlineStr">
        <is>
          <t>Captured output of a run, so the Chapter VI figures can be checked without executing anything.</t>
        </is>
      </c>
    </row>
    <row r="31">
      <c r="B31" s="25" t="inlineStr">
        <is>
          <t>STATUS</t>
        </is>
      </c>
    </row>
    <row r="32">
      <c r="C32" s="25" t="inlineStr">
        <is>
          <t>P1 complete for M1-M4, M6, M7, M8, M9. M5 substituted by locator resolution against the captured DOM. P2-P6 not executed.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5" min="1" max="1"/>
    <col width="100" customWidth="1" style="25" min="2" max="2"/>
  </cols>
  <sheetData>
    <row r="1" ht="17.35" customHeight="1" s="26">
      <c r="A1" s="36" t="inlineStr">
        <is>
          <t>EXPERIMENTAL PROTOCOL</t>
        </is>
      </c>
    </row>
    <row r="3" ht="15" customHeight="1" s="26">
      <c r="B3" s="37" t="inlineStr">
        <is>
          <t>SCOPE RULE — read this first</t>
        </is>
      </c>
    </row>
    <row r="4" ht="15" customHeight="1" s="26">
      <c r="B4" s="30" t="inlineStr">
        <is>
          <t>Pipeline B always receives the WHOLE page HTML. Pipeline A is scoped by your section choice.</t>
        </is>
      </c>
    </row>
    <row r="5" ht="15" customHeight="1" s="26">
      <c r="B5" s="30" t="inlineStr">
        <is>
          <t>To compare coverage fairly, either (a) run Pipeline A with section choice 'a' so Header+Footer+Body</t>
        </is>
      </c>
    </row>
    <row r="6" ht="15" customHeight="1" s="26">
      <c r="B6" s="30" t="inlineStr">
        <is>
          <t>together cover the same ground, or (b) keep 'b' (Body only) and record the scope limitation in the</t>
        </is>
      </c>
    </row>
    <row r="7" ht="15" customHeight="1" s="26">
      <c r="B7" s="30" t="inlineStr">
        <is>
          <t>methodology section of the report. Choice 'a' does NOT merge sections — it writes 3 separate classes.</t>
        </is>
      </c>
    </row>
    <row r="8" ht="15" customHeight="1" s="26">
      <c r="B8" s="30" t="inlineStr">
        <is>
          <t>Whichever you choose, apply it identically to all 6 pages and state it in the Results sheet.</t>
        </is>
      </c>
    </row>
    <row r="9" ht="15" customHeight="1" s="26">
      <c r="B9" s="30" t="n"/>
    </row>
    <row r="10" ht="15" customHeight="1" s="26">
      <c r="B10" s="37" t="inlineStr">
        <is>
          <t>PAGES (6)</t>
        </is>
      </c>
    </row>
    <row r="11" ht="15" customHeight="1" s="26">
      <c r="B11" s="30" t="inlineStr">
        <is>
          <t>P1  SauceDemo        https://www.saucedemo.com/inventory.html    (login required)</t>
        </is>
      </c>
    </row>
    <row r="12" ht="15" customHeight="1" s="26">
      <c r="B12" s="30" t="inlineStr">
        <is>
          <t>P2  SauceDemo        https://www.saucedemo.com/                  (login page)</t>
        </is>
      </c>
    </row>
    <row r="13" ht="15" customHeight="1" s="26">
      <c r="B13" s="30" t="inlineStr">
        <is>
          <t>P3  SauceDemo        https://www.saucedemo.com/cart.html         (login required)</t>
        </is>
      </c>
    </row>
    <row r="14" ht="15" customHeight="1" s="26">
      <c r="B14" s="30" t="inlineStr">
        <is>
          <t>P4  AutomationEx.    https://automationexercise.com/products</t>
        </is>
      </c>
    </row>
    <row r="15" ht="15" customHeight="1" s="26">
      <c r="B15" s="30" t="inlineStr">
        <is>
          <t>P5  AutomationEx.    https://automationexercise.com/login</t>
        </is>
      </c>
    </row>
    <row r="16" ht="15" customHeight="1" s="26">
      <c r="B16" s="30" t="inlineStr">
        <is>
          <t>P6  AutomationEx.    https://automationexercise.com/contact_us</t>
        </is>
      </c>
    </row>
    <row r="17" ht="15" customHeight="1" s="26">
      <c r="B17" s="30" t="n"/>
    </row>
    <row r="18" ht="15" customHeight="1" s="26">
      <c r="B18" s="37" t="inlineStr">
        <is>
          <t>FOR EACH PAGE</t>
        </is>
      </c>
    </row>
    <row r="19" ht="15" customHeight="1" s="26">
      <c r="B19" s="30" t="inlineStr">
        <is>
          <t>1. Open the page in a browser. Manually count every interactive element (input, button, link)</t>
        </is>
      </c>
    </row>
    <row r="20" ht="15" customHeight="1" s="26">
      <c r="B20" s="30" t="inlineStr">
        <is>
          <t xml:space="preserve">   that is visible and usable. This is GROUND TRUTH. Do it once, before running anything,</t>
        </is>
      </c>
    </row>
    <row r="21" ht="15" customHeight="1" s="26">
      <c r="B21" s="30" t="inlineStr">
        <is>
          <t xml:space="preserve">   so the count is not biased by what the tools produced.</t>
        </is>
      </c>
    </row>
    <row r="22" ht="15" customHeight="1" s="26">
      <c r="B22" s="30" t="inlineStr">
        <is>
          <t>2. Run cli.Main option 1 (Pipeline A). Record console output and the generated file.</t>
        </is>
      </c>
    </row>
    <row r="23" ht="15" customHeight="1" s="26">
      <c r="B23" s="30" t="inlineStr">
        <is>
          <t>3. Run cli.Main option 3 (Pipeline B). Record console output, [GEMINI-METRICS] line, generated file.</t>
        </is>
      </c>
    </row>
    <row r="24" ht="15" customHeight="1" s="26">
      <c r="B24" s="30" t="inlineStr">
        <is>
          <t>4. Compile check: copy the generated class into a scratch module and compile. Record Y/N and the error.</t>
        </is>
      </c>
    </row>
    <row r="25" ht="15" customHeight="1" s="26">
      <c r="B25" s="30" t="inlineStr">
        <is>
          <t>5. Execution check: write one smoke test calling one generated method. Record pass/fail.</t>
        </is>
      </c>
    </row>
    <row r="26" ht="15" customHeight="1" s="26">
      <c r="B26" s="30" t="inlineStr">
        <is>
          <t>6. Fill the corresponding rows in the Results sheet.</t>
        </is>
      </c>
    </row>
    <row r="27" ht="15" customHeight="1" s="26">
      <c r="B27" s="30" t="n"/>
    </row>
    <row r="28" ht="15" customHeight="1" s="26">
      <c r="B28" s="37" t="inlineStr">
        <is>
          <t>DETERMINISM SUB-EXPERIMENT (page P1 only, already done)</t>
        </is>
      </c>
    </row>
    <row r="29" ht="15" customHeight="1" s="26">
      <c r="B29" s="30" t="inlineStr">
        <is>
          <t>Run each pipeline 3 times on the same page without changing anything. Hash each output</t>
        </is>
      </c>
    </row>
    <row r="30" ht="15" customHeight="1" s="26">
      <c r="B30" s="30" t="inlineStr">
        <is>
          <t>(md5) after normalising the class name. Record in the Determinism sheet.</t>
        </is>
      </c>
    </row>
    <row r="31" ht="15" customHeight="1" s="26">
      <c r="B31" s="30" t="n"/>
    </row>
    <row r="32" ht="15" customHeight="1" s="26">
      <c r="B32" s="37" t="inlineStr">
        <is>
          <t>RELIABILITY LOG</t>
        </is>
      </c>
    </row>
    <row r="33" ht="15" customHeight="1" s="26">
      <c r="B33" s="30" t="inlineStr">
        <is>
          <t>Record EVERY failed run — 503 errors, timeouts, rate limits — in the Defect Log.</t>
        </is>
      </c>
    </row>
    <row r="34" ht="15" customHeight="1" s="26">
      <c r="B34" s="30" t="inlineStr">
        <is>
          <t>Pipeline B's dependence on an external service is a measurable reliability difference,</t>
        </is>
      </c>
    </row>
    <row r="35" ht="15" customHeight="1" s="26">
      <c r="B35" s="30" t="inlineStr">
        <is>
          <t>not an inconvenience to be hidden. Pipeline A made 0 API calls on P1.</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2:D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5" min="1" max="1"/>
    <col width="26" customWidth="1" style="25" min="2" max="2"/>
    <col width="60" customWidth="1" style="25" min="3" max="3"/>
    <col width="22" customWidth="1" style="25" min="4" max="4"/>
  </cols>
  <sheetData>
    <row r="2" ht="15" customHeight="1" s="26">
      <c r="A2" s="38" t="inlineStr">
        <is>
          <t>#</t>
        </is>
      </c>
      <c r="B2" s="38" t="inlineStr">
        <is>
          <t>Metric</t>
        </is>
      </c>
      <c r="C2" s="38" t="inlineStr">
        <is>
          <t>Definition / how to count</t>
        </is>
      </c>
      <c r="D2" s="38" t="inlineStr">
        <is>
          <t>Which is better</t>
        </is>
      </c>
    </row>
    <row r="3" ht="15" customHeight="1" s="26">
      <c r="A3" s="39" t="n">
        <v>1</v>
      </c>
      <c r="B3" s="39" t="inlineStr">
        <is>
          <t>Recall %</t>
        </is>
      </c>
      <c r="C3" s="40" t="inlineStr">
        <is>
          <t>Captured elements / ground-truth interactive elements on the page.</t>
        </is>
      </c>
      <c r="D3" s="40" t="inlineStr">
        <is>
          <t>Higher</t>
        </is>
      </c>
    </row>
    <row r="4" ht="23.85" customHeight="1" s="26">
      <c r="A4" s="39" t="n">
        <v>2</v>
      </c>
      <c r="B4" s="39" t="inlineStr">
        <is>
          <t>Precision %</t>
        </is>
      </c>
      <c r="C4" s="40" t="inlineStr">
        <is>
          <t>Correctly-addressable generated fields / total generated fields. A field pointing at a non-existent or non-interactive element is not correct.</t>
        </is>
      </c>
      <c r="D4" s="40" t="inlineStr">
        <is>
          <t>Higher</t>
        </is>
      </c>
    </row>
    <row r="5" ht="23.85" customHeight="1" s="26">
      <c r="A5" s="39" t="n">
        <v>3</v>
      </c>
      <c r="B5" s="39" t="inlineStr">
        <is>
          <t>Selector quality</t>
        </is>
      </c>
      <c r="C5" s="40" t="inlineStr">
        <is>
          <t>Distribution across data-test/data-qa, id, name, and visible-text fallback. Text fallback is the least stable.</t>
        </is>
      </c>
      <c r="D5" s="40" t="inlineStr">
        <is>
          <t>More attribute-based</t>
        </is>
      </c>
    </row>
    <row r="6" ht="15" customHeight="1" s="26">
      <c r="A6" s="39" t="n">
        <v>4</v>
      </c>
      <c r="B6" s="39" t="inlineStr">
        <is>
          <t>Compiles</t>
        </is>
      </c>
      <c r="C6" s="40" t="inlineStr">
        <is>
          <t>Does the generated class compile unmodified? Y/N.</t>
        </is>
      </c>
      <c r="D6" s="40" t="inlineStr">
        <is>
          <t>Y</t>
        </is>
      </c>
    </row>
    <row r="7" ht="23.85" customHeight="1" s="26">
      <c r="A7" s="39" t="n">
        <v>5</v>
      </c>
      <c r="B7" s="39" t="inlineStr">
        <is>
          <t>Executes</t>
        </is>
      </c>
      <c r="C7" s="40" t="inlineStr">
        <is>
          <t>Does a smoke test using one generated method pass against the live page? Y/N.</t>
        </is>
      </c>
      <c r="D7" s="40" t="inlineStr">
        <is>
          <t>Y</t>
        </is>
      </c>
    </row>
    <row r="8" ht="15" customHeight="1" s="26">
      <c r="A8" s="39" t="n">
        <v>6</v>
      </c>
      <c r="B8" s="39" t="inlineStr">
        <is>
          <t>Duplication</t>
        </is>
      </c>
      <c r="C8" s="40" t="inlineStr">
        <is>
          <t>Number of redundant fields/methods addressing the same element.</t>
        </is>
      </c>
      <c r="D8" s="40" t="inlineStr">
        <is>
          <t>Lower</t>
        </is>
      </c>
    </row>
    <row r="9" ht="15" customHeight="1" s="26">
      <c r="A9" s="39" t="n">
        <v>7</v>
      </c>
      <c r="B9" s="39" t="inlineStr">
        <is>
          <t>Cost (tokens)</t>
        </is>
      </c>
      <c r="C9" s="40" t="inlineStr">
        <is>
          <t>Prompt + output tokens consumed to generate the page object.</t>
        </is>
      </c>
      <c r="D9" s="40" t="inlineStr">
        <is>
          <t>Lower</t>
        </is>
      </c>
    </row>
    <row r="10" ht="15" customHeight="1" s="26">
      <c r="A10" s="39" t="n">
        <v>8</v>
      </c>
      <c r="B10" s="39" t="inlineStr">
        <is>
          <t>Latency (ms)</t>
        </is>
      </c>
      <c r="C10" s="40" t="inlineStr">
        <is>
          <t>Wall-clock time of the generation call.</t>
        </is>
      </c>
      <c r="D10" s="40" t="inlineStr">
        <is>
          <t>Lower</t>
        </is>
      </c>
    </row>
    <row r="11" ht="15" customHeight="1" s="26">
      <c r="A11" s="39" t="n">
        <v>9</v>
      </c>
      <c r="B11" s="39" t="inlineStr">
        <is>
          <t>Determinism</t>
        </is>
      </c>
      <c r="C11" s="40" t="inlineStr">
        <is>
          <t>Are 3 runs on identical input byte-identical? Compare md5 hashes.</t>
        </is>
      </c>
      <c r="D11" s="40" t="inlineStr">
        <is>
          <t>Identical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Y17"/>
  <sheetViews>
    <sheetView showFormulas="0" showGridLines="1" showRowColHeaders="1" showZeros="1" rightToLeft="0" tabSelected="0" showOutlineSymbols="1" defaultGridColor="1"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baseColWidth="8" defaultColWidth="8.6796875" defaultRowHeight="15" zeroHeight="0" outlineLevelRow="0"/>
  <cols>
    <col width="8" customWidth="1" style="25" min="1" max="1"/>
    <col width="14" customWidth="1" style="25" min="2" max="2"/>
    <col width="34" customWidth="1" style="25" min="3" max="3"/>
    <col width="10" customWidth="1" style="25" min="4" max="4"/>
    <col width="12" customWidth="1" style="25" min="5" max="5"/>
    <col width="10" customWidth="1" style="25" min="6" max="6"/>
    <col width="11" customWidth="1" style="25" min="7" max="7"/>
    <col width="10" customWidth="1" style="25" min="8" max="9"/>
    <col width="9" customWidth="1" style="25" min="10" max="10"/>
    <col width="11" customWidth="1" style="25" min="11" max="11"/>
    <col width="12" customWidth="1" style="25" min="12" max="12"/>
    <col width="10" customWidth="1" style="25" min="13" max="13"/>
    <col width="8" customWidth="1" style="25" min="14" max="14"/>
    <col width="9" customWidth="1" style="25" min="15" max="16"/>
    <col width="10" customWidth="1" style="25" min="17" max="17"/>
    <col width="9" customWidth="1" style="25" min="18" max="19"/>
    <col width="10" customWidth="1" style="25" min="20" max="24"/>
    <col width="46" customWidth="1" style="25" min="25" max="25"/>
  </cols>
  <sheetData>
    <row r="1" ht="17.35" customHeight="1" s="26">
      <c r="A1" s="36" t="inlineStr">
        <is>
          <t>MAIN RESULTS TABLE — one row per (page x pipeline)</t>
        </is>
      </c>
    </row>
    <row r="2" ht="39.55" customHeight="1" s="26">
      <c r="A2" s="38" t="inlineStr">
        <is>
          <t>Page</t>
        </is>
      </c>
      <c r="B2" s="38" t="inlineStr">
        <is>
          <t>Site</t>
        </is>
      </c>
      <c r="C2" s="38" t="inlineStr">
        <is>
          <t>URL</t>
        </is>
      </c>
      <c r="D2" s="38" t="inlineStr">
        <is>
          <t>Pipeline</t>
        </is>
      </c>
      <c r="E2" s="38" t="inlineStr">
        <is>
          <t>Scope</t>
        </is>
      </c>
      <c r="F2" s="38" t="inlineStr">
        <is>
          <t>Run used</t>
        </is>
      </c>
      <c r="G2" s="38" t="inlineStr">
        <is>
          <t>Ground truth elems</t>
        </is>
      </c>
      <c r="H2" s="38" t="inlineStr">
        <is>
          <t>Captured</t>
        </is>
      </c>
      <c r="I2" s="38" t="inlineStr">
        <is>
          <t>Recall %</t>
        </is>
      </c>
      <c r="J2" s="38" t="inlineStr">
        <is>
          <t>Correct</t>
        </is>
      </c>
      <c r="K2" s="38" t="inlineStr">
        <is>
          <t>Precision %</t>
        </is>
      </c>
      <c r="L2" s="38" t="inlineStr">
        <is>
          <t>Invalid / hallucinated</t>
        </is>
      </c>
      <c r="M2" s="38" t="inlineStr">
        <is>
          <t>sel: data-*</t>
        </is>
      </c>
      <c r="N2" s="38" t="inlineStr">
        <is>
          <t>sel: id</t>
        </is>
      </c>
      <c r="O2" s="38" t="inlineStr">
        <is>
          <t>sel: name</t>
        </is>
      </c>
      <c r="P2" s="38" t="inlineStr">
        <is>
          <t>sel: text</t>
        </is>
      </c>
      <c r="Q2" s="38" t="inlineStr">
        <is>
          <t>Low-conf %</t>
        </is>
      </c>
      <c r="R2" s="38" t="inlineStr">
        <is>
          <t>Compiles</t>
        </is>
      </c>
      <c r="S2" s="38" t="inlineStr">
        <is>
          <t>Executes</t>
        </is>
      </c>
      <c r="T2" s="38" t="inlineStr">
        <is>
          <t>Duplicates</t>
        </is>
      </c>
      <c r="U2" s="38" t="inlineStr">
        <is>
          <t>Prompt tok</t>
        </is>
      </c>
      <c r="V2" s="38" t="inlineStr">
        <is>
          <t>Output tok</t>
        </is>
      </c>
      <c r="W2" s="38" t="inlineStr">
        <is>
          <t>Total tok</t>
        </is>
      </c>
      <c r="X2" s="38" t="inlineStr">
        <is>
          <t>Latency ms</t>
        </is>
      </c>
      <c r="Y2" s="38" t="inlineStr">
        <is>
          <t>Notes</t>
        </is>
      </c>
    </row>
    <row r="3" ht="68.65000000000001" customHeight="1" s="26">
      <c r="A3" s="41" t="inlineStr">
        <is>
          <t>P1</t>
        </is>
      </c>
      <c r="B3" s="41" t="inlineStr">
        <is>
          <t>SauceDemo</t>
        </is>
      </c>
      <c r="C3" s="40" t="inlineStr">
        <is>
          <t>https://www.saucedemo.com/inventory.html</t>
        </is>
      </c>
      <c r="D3" s="41" t="inlineStr">
        <is>
          <t>A (structured)</t>
        </is>
      </c>
      <c r="E3" s="42" t="inlineStr">
        <is>
          <t>Body only</t>
        </is>
      </c>
      <c r="F3" s="42" t="inlineStr">
        <is>
          <t>run 1</t>
        </is>
      </c>
      <c r="G3" s="43" t="n">
        <v>25</v>
      </c>
      <c r="H3" s="42" t="n">
        <v>25</v>
      </c>
      <c r="I3" s="44">
        <f>IFERROR(H3/G3,"")</f>
        <v/>
      </c>
      <c r="J3" s="43" t="n">
        <v>16</v>
      </c>
      <c r="K3" s="44">
        <f>IFERROR(J3/H3,"")</f>
        <v/>
      </c>
      <c r="L3" s="43" t="n">
        <v>0</v>
      </c>
      <c r="M3" s="42" t="n">
        <v>1</v>
      </c>
      <c r="N3" s="42" t="n">
        <v>2</v>
      </c>
      <c r="O3" s="42" t="n">
        <v>0</v>
      </c>
      <c r="P3" s="42" t="n">
        <v>0</v>
      </c>
      <c r="Q3" s="44">
        <f>IFERROR(P3/SUM(M3:P3),"")</f>
        <v/>
      </c>
      <c r="R3" s="42" t="inlineStr">
        <is>
          <t>Y</t>
        </is>
      </c>
      <c r="S3" s="43" t="inlineStr">
        <is>
          <t>Partial</t>
        </is>
      </c>
      <c r="T3" s="42" t="n">
        <v>0</v>
      </c>
      <c r="U3" s="42" t="n">
        <v>0</v>
      </c>
      <c r="V3" s="42" t="n">
        <v>0</v>
      </c>
      <c r="W3" s="45">
        <f>IFERROR(U3+V3,"")</f>
        <v/>
      </c>
      <c r="X3" s="42" t="n">
        <v>0</v>
      </c>
      <c r="Y3" s="46" t="inlineStr">
        <is>
          <t>Body scope. Ground truth = the 25 input/button/a elements in the Body region of the captured DOM (the region also holds 1 &lt;select&gt;, which the parser does not collect — see D10). Captured = 3 flat selectors + BmItemItem x4 + InventoryItemItem (3 roles x 6 cards) = 25 addressable element slots, so recall is 25/25 within the parser's element definition and 25/26 against all interactive elements in scope. Correct = 16/25 element slots resolve in a browser against that same DOM: BmItemItem clickAllItems fails on all 4 instances (D8) and clickSauceLabsBackpack on 5 of 6 (D6). At accessor level, 5 of 7 distinct locators resolve. 0 low-confidence selectors, so 0 API calls and 0 tokens. Output byte-identical across 5 runs. Reproduce with evaluation/lib/measure.py.</t>
        </is>
      </c>
    </row>
    <row r="4" ht="57.45" customHeight="1" s="26">
      <c r="A4" s="41" t="inlineStr">
        <is>
          <t>P1</t>
        </is>
      </c>
      <c r="B4" s="41" t="inlineStr">
        <is>
          <t>SauceDemo</t>
        </is>
      </c>
      <c r="C4" s="40" t="inlineStr">
        <is>
          <t>https://www.saucedemo.com/inventory.html</t>
        </is>
      </c>
      <c r="D4" s="41" t="inlineStr">
        <is>
          <t>B (naive LLM)</t>
        </is>
      </c>
      <c r="E4" s="42" t="inlineStr">
        <is>
          <t>Whole page</t>
        </is>
      </c>
      <c r="F4" s="42" t="inlineStr">
        <is>
          <t>run 1</t>
        </is>
      </c>
      <c r="G4" s="43" t="n">
        <v>29</v>
      </c>
      <c r="H4" s="42" t="n">
        <v>14</v>
      </c>
      <c r="I4" s="44">
        <f>IFERROR(H4/G4,"")</f>
        <v/>
      </c>
      <c r="J4" s="43" t="n">
        <v>2</v>
      </c>
      <c r="K4" s="44">
        <f>IFERROR(J4/H4,"")</f>
        <v/>
      </c>
      <c r="L4" s="43" t="n">
        <v>11</v>
      </c>
      <c r="M4" s="43" t="n">
        <v>0</v>
      </c>
      <c r="N4" s="43" t="n">
        <v>2</v>
      </c>
      <c r="O4" s="43" t="n">
        <v>0</v>
      </c>
      <c r="P4" s="43" t="n">
        <v>0</v>
      </c>
      <c r="Q4" s="44">
        <f>IFERROR(P4/SUM(M4:P4),"")</f>
        <v/>
      </c>
      <c r="R4" s="42" t="inlineStr">
        <is>
          <t>N</t>
        </is>
      </c>
      <c r="S4" s="43" t="inlineStr">
        <is>
          <t>N</t>
        </is>
      </c>
      <c r="T4" s="43" t="n">
        <v>0</v>
      </c>
      <c r="U4" s="42" t="n">
        <v>13115</v>
      </c>
      <c r="V4" s="42" t="n">
        <v>617</v>
      </c>
      <c r="W4" s="45">
        <f>IFERROR(U4+V4,"")</f>
        <v/>
      </c>
      <c r="X4" s="42" t="n">
        <v>3125</v>
      </c>
      <c r="Y4" s="46" t="inlineStr">
        <is>
          <t>Whole page. Ground truth = 29 interactive elements in the captured DOM (8 button, 20 a, 1 select). Captured = 14 locators. 11 of them call By.dataTest(), which is not a method of org.openqa.selenium.By, so the class does not compile and only the 2 By.id locators are evaluable; both resolve. Declared package 'pages'. selectProductSort() calls type() on a &lt;select&gt;. getProductPrice() fabricates data-test='inventory-item-&lt;id&gt;', which exists nowhere on the page, and documents the guess in a comment.</t>
        </is>
      </c>
    </row>
    <row r="5" ht="23.85" customHeight="1" s="26">
      <c r="A5" s="41" t="inlineStr">
        <is>
          <t>P2</t>
        </is>
      </c>
      <c r="B5" s="41" t="inlineStr">
        <is>
          <t>SauceDemo</t>
        </is>
      </c>
      <c r="C5" s="40" t="inlineStr">
        <is>
          <t>https://www.saucedemo.com/</t>
        </is>
      </c>
      <c r="D5" s="41" t="inlineStr">
        <is>
          <t>A (structured)</t>
        </is>
      </c>
      <c r="E5" s="43" t="n"/>
      <c r="F5" s="43" t="n"/>
      <c r="G5" s="43" t="n"/>
      <c r="H5" s="43" t="n"/>
      <c r="I5" s="44">
        <f>IFERROR(H5/G5,"")</f>
        <v/>
      </c>
      <c r="J5" s="43" t="n"/>
      <c r="K5" s="44">
        <f>IFERROR(J5/H5,"")</f>
        <v/>
      </c>
      <c r="L5" s="43" t="n"/>
      <c r="M5" s="43" t="n"/>
      <c r="N5" s="43" t="n"/>
      <c r="O5" s="43" t="n"/>
      <c r="P5" s="43" t="n"/>
      <c r="Q5" s="44">
        <f>IFERROR(P5/SUM(M5:P5),"")</f>
        <v/>
      </c>
      <c r="R5" s="43" t="n"/>
      <c r="S5" s="43" t="n"/>
      <c r="T5" s="43" t="n"/>
      <c r="U5" s="43" t="n"/>
      <c r="V5" s="43" t="n"/>
      <c r="W5" s="45">
        <f>IFERROR(U5+V5,"")</f>
        <v/>
      </c>
      <c r="X5" s="43" t="n"/>
      <c r="Y5" s="47" t="n"/>
    </row>
    <row r="6" ht="23.85" customHeight="1" s="26">
      <c r="A6" s="41" t="inlineStr">
        <is>
          <t>P2</t>
        </is>
      </c>
      <c r="B6" s="41" t="inlineStr">
        <is>
          <t>SauceDemo</t>
        </is>
      </c>
      <c r="C6" s="40" t="inlineStr">
        <is>
          <t>https://www.saucedemo.com/</t>
        </is>
      </c>
      <c r="D6" s="41" t="inlineStr">
        <is>
          <t>B (naive LLM)</t>
        </is>
      </c>
      <c r="E6" s="43" t="n"/>
      <c r="F6" s="43" t="n"/>
      <c r="G6" s="43" t="n"/>
      <c r="H6" s="43" t="n"/>
      <c r="I6" s="44">
        <f>IFERROR(H6/G6,"")</f>
        <v/>
      </c>
      <c r="J6" s="43" t="n"/>
      <c r="K6" s="44">
        <f>IFERROR(J6/H6,"")</f>
        <v/>
      </c>
      <c r="L6" s="43" t="n"/>
      <c r="M6" s="43" t="n"/>
      <c r="N6" s="43" t="n"/>
      <c r="O6" s="43" t="n"/>
      <c r="P6" s="43" t="n"/>
      <c r="Q6" s="44">
        <f>IFERROR(P6/SUM(M6:P6),"")</f>
        <v/>
      </c>
      <c r="R6" s="43" t="n"/>
      <c r="S6" s="43" t="n"/>
      <c r="T6" s="43" t="n"/>
      <c r="U6" s="43" t="n"/>
      <c r="V6" s="43" t="n"/>
      <c r="W6" s="45">
        <f>IFERROR(U6+V6,"")</f>
        <v/>
      </c>
      <c r="X6" s="43" t="n"/>
      <c r="Y6" s="47" t="n"/>
    </row>
    <row r="7" ht="23.85" customHeight="1" s="26">
      <c r="A7" s="41" t="inlineStr">
        <is>
          <t>P3</t>
        </is>
      </c>
      <c r="B7" s="41" t="inlineStr">
        <is>
          <t>SauceDemo</t>
        </is>
      </c>
      <c r="C7" s="40" t="inlineStr">
        <is>
          <t>https://www.saucedemo.com/cart.html</t>
        </is>
      </c>
      <c r="D7" s="41" t="inlineStr">
        <is>
          <t>A (structured)</t>
        </is>
      </c>
      <c r="E7" s="43" t="n"/>
      <c r="F7" s="43" t="n"/>
      <c r="G7" s="43" t="n"/>
      <c r="H7" s="43" t="n"/>
      <c r="I7" s="44">
        <f>IFERROR(H7/G7,"")</f>
        <v/>
      </c>
      <c r="J7" s="43" t="n"/>
      <c r="K7" s="44">
        <f>IFERROR(J7/H7,"")</f>
        <v/>
      </c>
      <c r="L7" s="43" t="n"/>
      <c r="M7" s="43" t="n"/>
      <c r="N7" s="43" t="n"/>
      <c r="O7" s="43" t="n"/>
      <c r="P7" s="43" t="n"/>
      <c r="Q7" s="44">
        <f>IFERROR(P7/SUM(M7:P7),"")</f>
        <v/>
      </c>
      <c r="R7" s="43" t="n"/>
      <c r="S7" s="43" t="n"/>
      <c r="T7" s="43" t="n"/>
      <c r="U7" s="43" t="n"/>
      <c r="V7" s="43" t="n"/>
      <c r="W7" s="45">
        <f>IFERROR(U7+V7,"")</f>
        <v/>
      </c>
      <c r="X7" s="43" t="n"/>
      <c r="Y7" s="47" t="n"/>
    </row>
    <row r="8" ht="23.85" customHeight="1" s="26">
      <c r="A8" s="41" t="inlineStr">
        <is>
          <t>P3</t>
        </is>
      </c>
      <c r="B8" s="41" t="inlineStr">
        <is>
          <t>SauceDemo</t>
        </is>
      </c>
      <c r="C8" s="40" t="inlineStr">
        <is>
          <t>https://www.saucedemo.com/cart.html</t>
        </is>
      </c>
      <c r="D8" s="41" t="inlineStr">
        <is>
          <t>B (naive LLM)</t>
        </is>
      </c>
      <c r="E8" s="43" t="n"/>
      <c r="F8" s="43" t="n"/>
      <c r="G8" s="43" t="n"/>
      <c r="H8" s="43" t="n"/>
      <c r="I8" s="44">
        <f>IFERROR(H8/G8,"")</f>
        <v/>
      </c>
      <c r="J8" s="43" t="n"/>
      <c r="K8" s="44">
        <f>IFERROR(J8/H8,"")</f>
        <v/>
      </c>
      <c r="L8" s="43" t="n"/>
      <c r="M8" s="43" t="n"/>
      <c r="N8" s="43" t="n"/>
      <c r="O8" s="43" t="n"/>
      <c r="P8" s="43" t="n"/>
      <c r="Q8" s="44">
        <f>IFERROR(P8/SUM(M8:P8),"")</f>
        <v/>
      </c>
      <c r="R8" s="43" t="n"/>
      <c r="S8" s="43" t="n"/>
      <c r="T8" s="43" t="n"/>
      <c r="U8" s="43" t="n"/>
      <c r="V8" s="43" t="n"/>
      <c r="W8" s="45">
        <f>IFERROR(U8+V8,"")</f>
        <v/>
      </c>
      <c r="X8" s="43" t="n"/>
      <c r="Y8" s="47" t="n"/>
    </row>
    <row r="9" ht="23.85" customHeight="1" s="26">
      <c r="A9" s="41" t="inlineStr">
        <is>
          <t>P4</t>
        </is>
      </c>
      <c r="B9" s="41" t="inlineStr">
        <is>
          <t>AutomationEx.</t>
        </is>
      </c>
      <c r="C9" s="40" t="inlineStr">
        <is>
          <t>https://automationexercise.com/products</t>
        </is>
      </c>
      <c r="D9" s="41" t="inlineStr">
        <is>
          <t>A (structured)</t>
        </is>
      </c>
      <c r="E9" s="43" t="n"/>
      <c r="F9" s="43" t="n"/>
      <c r="G9" s="43" t="n"/>
      <c r="H9" s="43" t="n"/>
      <c r="I9" s="44">
        <f>IFERROR(H9/G9,"")</f>
        <v/>
      </c>
      <c r="J9" s="43" t="n"/>
      <c r="K9" s="44">
        <f>IFERROR(J9/H9,"")</f>
        <v/>
      </c>
      <c r="L9" s="43" t="n"/>
      <c r="M9" s="43" t="n"/>
      <c r="N9" s="43" t="n"/>
      <c r="O9" s="43" t="n"/>
      <c r="P9" s="43" t="n"/>
      <c r="Q9" s="44">
        <f>IFERROR(P9/SUM(M9:P9),"")</f>
        <v/>
      </c>
      <c r="R9" s="43" t="n"/>
      <c r="S9" s="43" t="n"/>
      <c r="T9" s="43" t="n"/>
      <c r="U9" s="43" t="n"/>
      <c r="V9" s="43" t="n"/>
      <c r="W9" s="45">
        <f>IFERROR(U9+V9,"")</f>
        <v/>
      </c>
      <c r="X9" s="43" t="n"/>
      <c r="Y9" s="47" t="n"/>
    </row>
    <row r="10" ht="23.85" customHeight="1" s="26">
      <c r="A10" s="41" t="inlineStr">
        <is>
          <t>P4</t>
        </is>
      </c>
      <c r="B10" s="41" t="inlineStr">
        <is>
          <t>AutomationEx.</t>
        </is>
      </c>
      <c r="C10" s="40" t="inlineStr">
        <is>
          <t>https://automationexercise.com/products</t>
        </is>
      </c>
      <c r="D10" s="41" t="inlineStr">
        <is>
          <t>B (naive LLM)</t>
        </is>
      </c>
      <c r="E10" s="43" t="n"/>
      <c r="F10" s="43" t="n"/>
      <c r="G10" s="43" t="n"/>
      <c r="H10" s="43" t="n"/>
      <c r="I10" s="44">
        <f>IFERROR(H10/G10,"")</f>
        <v/>
      </c>
      <c r="J10" s="43" t="n"/>
      <c r="K10" s="44">
        <f>IFERROR(J10/H10,"")</f>
        <v/>
      </c>
      <c r="L10" s="43" t="n"/>
      <c r="M10" s="43" t="n"/>
      <c r="N10" s="43" t="n"/>
      <c r="O10" s="43" t="n"/>
      <c r="P10" s="43" t="n"/>
      <c r="Q10" s="44">
        <f>IFERROR(P10/SUM(M10:P10),"")</f>
        <v/>
      </c>
      <c r="R10" s="43" t="n"/>
      <c r="S10" s="43" t="n"/>
      <c r="T10" s="43" t="n"/>
      <c r="U10" s="43" t="n"/>
      <c r="V10" s="43" t="n"/>
      <c r="W10" s="45">
        <f>IFERROR(U10+V10,"")</f>
        <v/>
      </c>
      <c r="X10" s="43" t="n"/>
      <c r="Y10" s="47" t="n"/>
    </row>
    <row r="11" ht="23.85" customHeight="1" s="26">
      <c r="A11" s="41" t="inlineStr">
        <is>
          <t>P5</t>
        </is>
      </c>
      <c r="B11" s="41" t="inlineStr">
        <is>
          <t>AutomationEx.</t>
        </is>
      </c>
      <c r="C11" s="40" t="inlineStr">
        <is>
          <t>https://automationexercise.com/login</t>
        </is>
      </c>
      <c r="D11" s="41" t="inlineStr">
        <is>
          <t>A (structured)</t>
        </is>
      </c>
      <c r="E11" s="43" t="n"/>
      <c r="F11" s="43" t="n"/>
      <c r="G11" s="43" t="n"/>
      <c r="H11" s="43" t="n"/>
      <c r="I11" s="44">
        <f>IFERROR(H11/G11,"")</f>
        <v/>
      </c>
      <c r="J11" s="43" t="n"/>
      <c r="K11" s="44">
        <f>IFERROR(J11/H11,"")</f>
        <v/>
      </c>
      <c r="L11" s="43" t="n"/>
      <c r="M11" s="43" t="n"/>
      <c r="N11" s="43" t="n"/>
      <c r="O11" s="43" t="n"/>
      <c r="P11" s="43" t="n"/>
      <c r="Q11" s="44">
        <f>IFERROR(P11/SUM(M11:P11),"")</f>
        <v/>
      </c>
      <c r="R11" s="43" t="n"/>
      <c r="S11" s="43" t="n"/>
      <c r="T11" s="43" t="n"/>
      <c r="U11" s="43" t="n"/>
      <c r="V11" s="43" t="n"/>
      <c r="W11" s="45">
        <f>IFERROR(U11+V11,"")</f>
        <v/>
      </c>
      <c r="X11" s="43" t="n"/>
      <c r="Y11" s="47" t="n"/>
    </row>
    <row r="12" ht="23.85" customHeight="1" s="26">
      <c r="A12" s="41" t="inlineStr">
        <is>
          <t>P5</t>
        </is>
      </c>
      <c r="B12" s="41" t="inlineStr">
        <is>
          <t>AutomationEx.</t>
        </is>
      </c>
      <c r="C12" s="40" t="inlineStr">
        <is>
          <t>https://automationexercise.com/login</t>
        </is>
      </c>
      <c r="D12" s="41" t="inlineStr">
        <is>
          <t>B (naive LLM)</t>
        </is>
      </c>
      <c r="E12" s="43" t="n"/>
      <c r="F12" s="43" t="n"/>
      <c r="G12" s="43" t="n"/>
      <c r="H12" s="43" t="n"/>
      <c r="I12" s="44">
        <f>IFERROR(H12/G12,"")</f>
        <v/>
      </c>
      <c r="J12" s="43" t="n"/>
      <c r="K12" s="44">
        <f>IFERROR(J12/H12,"")</f>
        <v/>
      </c>
      <c r="L12" s="43" t="n"/>
      <c r="M12" s="43" t="n"/>
      <c r="N12" s="43" t="n"/>
      <c r="O12" s="43" t="n"/>
      <c r="P12" s="43" t="n"/>
      <c r="Q12" s="44">
        <f>IFERROR(P12/SUM(M12:P12),"")</f>
        <v/>
      </c>
      <c r="R12" s="43" t="n"/>
      <c r="S12" s="43" t="n"/>
      <c r="T12" s="43" t="n"/>
      <c r="U12" s="43" t="n"/>
      <c r="V12" s="43" t="n"/>
      <c r="W12" s="45">
        <f>IFERROR(U12+V12,"")</f>
        <v/>
      </c>
      <c r="X12" s="43" t="n"/>
      <c r="Y12" s="47" t="n"/>
    </row>
    <row r="13" ht="23.85" customHeight="1" s="26">
      <c r="A13" s="41" t="inlineStr">
        <is>
          <t>P6</t>
        </is>
      </c>
      <c r="B13" s="41" t="inlineStr">
        <is>
          <t>AutomationEx.</t>
        </is>
      </c>
      <c r="C13" s="40" t="inlineStr">
        <is>
          <t>https://automationexercise.com/contact_us</t>
        </is>
      </c>
      <c r="D13" s="41" t="inlineStr">
        <is>
          <t>A (structured)</t>
        </is>
      </c>
      <c r="E13" s="43" t="n"/>
      <c r="F13" s="43" t="n"/>
      <c r="G13" s="43" t="n"/>
      <c r="H13" s="43" t="n"/>
      <c r="I13" s="44">
        <f>IFERROR(H13/G13,"")</f>
        <v/>
      </c>
      <c r="J13" s="43" t="n"/>
      <c r="K13" s="44">
        <f>IFERROR(J13/H13,"")</f>
        <v/>
      </c>
      <c r="L13" s="43" t="n"/>
      <c r="M13" s="43" t="n"/>
      <c r="N13" s="43" t="n"/>
      <c r="O13" s="43" t="n"/>
      <c r="P13" s="43" t="n"/>
      <c r="Q13" s="44">
        <f>IFERROR(P13/SUM(M13:P13),"")</f>
        <v/>
      </c>
      <c r="R13" s="43" t="n"/>
      <c r="S13" s="43" t="n"/>
      <c r="T13" s="43" t="n"/>
      <c r="U13" s="43" t="n"/>
      <c r="V13" s="43" t="n"/>
      <c r="W13" s="45">
        <f>IFERROR(U13+V13,"")</f>
        <v/>
      </c>
      <c r="X13" s="43" t="n"/>
      <c r="Y13" s="47" t="n"/>
    </row>
    <row r="14" ht="23.85" customHeight="1" s="26">
      <c r="A14" s="41" t="inlineStr">
        <is>
          <t>P6</t>
        </is>
      </c>
      <c r="B14" s="41" t="inlineStr">
        <is>
          <t>AutomationEx.</t>
        </is>
      </c>
      <c r="C14" s="40" t="inlineStr">
        <is>
          <t>https://automationexercise.com/contact_us</t>
        </is>
      </c>
      <c r="D14" s="41" t="inlineStr">
        <is>
          <t>B (naive LLM)</t>
        </is>
      </c>
      <c r="E14" s="43" t="n"/>
      <c r="F14" s="43" t="n"/>
      <c r="G14" s="43" t="n"/>
      <c r="H14" s="43" t="n"/>
      <c r="I14" s="44">
        <f>IFERROR(H14/G14,"")</f>
        <v/>
      </c>
      <c r="J14" s="43" t="n"/>
      <c r="K14" s="44">
        <f>IFERROR(J14/H14,"")</f>
        <v/>
      </c>
      <c r="L14" s="43" t="n"/>
      <c r="M14" s="43" t="n"/>
      <c r="N14" s="43" t="n"/>
      <c r="O14" s="43" t="n"/>
      <c r="P14" s="43" t="n"/>
      <c r="Q14" s="44">
        <f>IFERROR(P14/SUM(M14:P14),"")</f>
        <v/>
      </c>
      <c r="R14" s="43" t="n"/>
      <c r="S14" s="43" t="n"/>
      <c r="T14" s="43" t="n"/>
      <c r="U14" s="43" t="n"/>
      <c r="V14" s="43" t="n"/>
      <c r="W14" s="45">
        <f>IFERROR(U14+V14,"")</f>
        <v/>
      </c>
      <c r="X14" s="43" t="n"/>
      <c r="Y14" s="47" t="n"/>
    </row>
    <row r="15">
      <c r="A15" s="25" t="inlineStr">
        <is>
          <t>P1</t>
        </is>
      </c>
      <c r="B15" s="25" t="inlineStr">
        <is>
          <t>SauceDemo</t>
        </is>
      </c>
      <c r="C15" s="25" t="inlineStr">
        <is>
          <t>https://www.saucedemo.com/inventory.html</t>
        </is>
      </c>
      <c r="D15" s="25" t="inlineStr">
        <is>
          <t>B (naive LLM)</t>
        </is>
      </c>
      <c r="E15" s="25" t="inlineStr">
        <is>
          <t>Whole page</t>
        </is>
      </c>
      <c r="F15" s="25" t="inlineStr">
        <is>
          <t>run 2</t>
        </is>
      </c>
      <c r="G15" s="25" t="n">
        <v>29</v>
      </c>
      <c r="H15" s="25" t="n">
        <v>17</v>
      </c>
      <c r="I15">
        <f>IFERROR(H15/G15,"")</f>
        <v/>
      </c>
      <c r="J15" s="25" t="n">
        <v>2</v>
      </c>
      <c r="K15">
        <f>IFERROR(J15/H15,"")</f>
        <v/>
      </c>
      <c r="L15" s="25" t="n">
        <v>15</v>
      </c>
      <c r="R15" s="25" t="inlineStr">
        <is>
          <t>N</t>
        </is>
      </c>
      <c r="S15" s="25" t="inlineStr">
        <is>
          <t>N</t>
        </is>
      </c>
      <c r="T15" s="25" t="n">
        <v>0</v>
      </c>
      <c r="U15" s="25" t="n">
        <v>13115</v>
      </c>
      <c r="V15" s="25" t="n">
        <v>772</v>
      </c>
      <c r="W15">
        <f>IFERROR(U15+V15,"")</f>
        <v/>
      </c>
      <c r="X15" s="25" t="n">
        <v>3342</v>
      </c>
      <c r="Y15" s="25" t="inlineStr">
        <is>
          <t>Whole page, determinism run 2. 17 By fields, 15 of them calling By.dataTest(); does not compile, so only the 2 By.id locators are evaluable and both resolve. Declared package 'pageobjects' — a different directory from runs 1 and 3 on every regeneration.</t>
        </is>
      </c>
    </row>
    <row r="16" ht="15" customHeight="1" s="26">
      <c r="A16" s="28" t="inlineStr">
        <is>
          <t>P1</t>
        </is>
      </c>
      <c r="B16" s="25" t="inlineStr">
        <is>
          <t>SauceDemo</t>
        </is>
      </c>
      <c r="C16" s="25" t="inlineStr">
        <is>
          <t>https://www.saucedemo.com/inventory.html</t>
        </is>
      </c>
      <c r="D16" s="25" t="inlineStr">
        <is>
          <t>B (naive LLM)</t>
        </is>
      </c>
      <c r="E16" s="25" t="inlineStr">
        <is>
          <t>Whole page</t>
        </is>
      </c>
      <c r="F16" s="25" t="inlineStr">
        <is>
          <t>run 3</t>
        </is>
      </c>
      <c r="G16" s="25" t="n">
        <v>29</v>
      </c>
      <c r="H16" s="25" t="n">
        <v>19</v>
      </c>
      <c r="I16">
        <f>IFERROR(H16/G16,"")</f>
        <v/>
      </c>
      <c r="J16" s="25" t="n">
        <v>19</v>
      </c>
      <c r="K16">
        <f>IFERROR(J16/H16,"")</f>
        <v/>
      </c>
      <c r="L16" s="25" t="n">
        <v>0</v>
      </c>
      <c r="R16" s="25" t="inlineStr">
        <is>
          <t>Y</t>
        </is>
      </c>
      <c r="S16" s="25" t="inlineStr">
        <is>
          <t>Y</t>
        </is>
      </c>
      <c r="T16" s="25" t="n">
        <v>0</v>
      </c>
      <c r="U16" s="25" t="n">
        <v>13115</v>
      </c>
      <c r="V16" s="25" t="n">
        <v>847</v>
      </c>
      <c r="W16">
        <f>IFERROR(U16+V16,"")</f>
        <v/>
      </c>
      <c r="X16" s="25" t="n">
        <v>2918</v>
      </c>
      <c r="Y16" s="25" t="inlineStr">
        <is>
          <t>Whole page, determinism run 3. Compiles. All 19 locators resolve against the captured DOM: when this pipeline compiles, its locators are correct. Used By.id where runs 1-2 used a data-test form, despite identical prompt guidance.</t>
        </is>
      </c>
    </row>
    <row r="17" ht="15" customHeight="1" s="26">
      <c r="A17" s="28" t="inlineStr">
        <is>
          <t>Pipeline A cost is 0 tokens whenever low-confidence count is 0 (no elements escalated to the LLM).</t>
        </is>
      </c>
    </row>
  </sheetData>
  <mergeCells count="1">
    <mergeCell ref="A1:Y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K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5" min="1" max="1"/>
    <col width="14" customWidth="1" style="25" min="2" max="2"/>
    <col width="7" customWidth="1" style="25" min="3" max="3"/>
    <col width="36" customWidth="1" style="25" min="4" max="4"/>
    <col width="8" customWidth="1" style="25" min="5" max="5"/>
    <col width="10" customWidth="1" style="25" min="6" max="6"/>
    <col width="9" customWidth="1" style="25" min="7" max="7"/>
    <col width="18" customWidth="1" style="25" min="8" max="8"/>
    <col width="12" customWidth="1" style="25" min="9" max="9"/>
    <col width="11" customWidth="1" style="25" min="10" max="10"/>
    <col width="16" customWidth="1" style="25" min="11" max="11"/>
  </cols>
  <sheetData>
    <row r="1" ht="17.35" customHeight="1" s="26">
      <c r="A1" s="36" t="inlineStr">
        <is>
          <t>DETERMINISM SUB-EXPERIMENT — identical input, 3 consecutive runs</t>
        </is>
      </c>
    </row>
    <row r="2" ht="26.85" customHeight="1" s="26">
      <c r="A2" s="38" t="inlineStr">
        <is>
          <t>Page</t>
        </is>
      </c>
      <c r="B2" s="38" t="inlineStr">
        <is>
          <t>Pipeline</t>
        </is>
      </c>
      <c r="C2" s="38" t="inlineStr">
        <is>
          <t>Run</t>
        </is>
      </c>
      <c r="D2" s="38" t="inlineStr">
        <is>
          <t>md5 (class name normalised)</t>
        </is>
      </c>
      <c r="E2" s="38" t="inlineStr">
        <is>
          <t>Lines</t>
        </is>
      </c>
      <c r="F2" s="38" t="inlineStr">
        <is>
          <t>By fields</t>
        </is>
      </c>
      <c r="G2" s="38" t="inlineStr">
        <is>
          <t>Methods</t>
        </is>
      </c>
      <c r="H2" s="38" t="inlineStr">
        <is>
          <t>Package declared</t>
        </is>
      </c>
      <c r="I2" s="38" t="inlineStr">
        <is>
          <t>Output tokens</t>
        </is>
      </c>
      <c r="J2" s="38" t="inlineStr">
        <is>
          <t>Latency ms</t>
        </is>
      </c>
      <c r="K2" s="38" t="inlineStr">
        <is>
          <t>All 3 identical?</t>
        </is>
      </c>
    </row>
    <row r="3" ht="15" customHeight="1" s="26">
      <c r="A3" s="42" t="inlineStr">
        <is>
          <t>P1</t>
        </is>
      </c>
      <c r="B3" s="42" t="inlineStr">
        <is>
          <t>A (structured)</t>
        </is>
      </c>
      <c r="C3" s="42" t="n">
        <v>1</v>
      </c>
      <c r="D3" s="42" t="inlineStr">
        <is>
          <t>420c015aece99c3da5f12330a49934a0</t>
        </is>
      </c>
      <c r="E3" s="42" t="n">
        <v>93</v>
      </c>
      <c r="F3" s="42" t="n">
        <v>3</v>
      </c>
      <c r="G3" s="42" t="n">
        <v>14</v>
      </c>
      <c r="H3" s="42" t="inlineStr">
        <is>
          <t>pages.generated</t>
        </is>
      </c>
      <c r="I3" s="42" t="n">
        <v>0</v>
      </c>
      <c r="J3" s="42" t="n"/>
      <c r="K3" s="48">
        <f>IF(AND(D3=D4,D4=D5),"YES — identical","NO — differs")</f>
        <v/>
      </c>
    </row>
    <row r="4" ht="15" customHeight="1" s="26">
      <c r="A4" s="42" t="inlineStr">
        <is>
          <t>P1</t>
        </is>
      </c>
      <c r="B4" s="42" t="inlineStr">
        <is>
          <t>A (structured)</t>
        </is>
      </c>
      <c r="C4" s="42" t="n">
        <v>2</v>
      </c>
      <c r="D4" s="42" t="inlineStr">
        <is>
          <t>420c015aece99c3da5f12330a49934a0</t>
        </is>
      </c>
      <c r="E4" s="42" t="n">
        <v>93</v>
      </c>
      <c r="F4" s="42" t="n">
        <v>3</v>
      </c>
      <c r="G4" s="42" t="n">
        <v>14</v>
      </c>
      <c r="H4" s="42" t="inlineStr">
        <is>
          <t>pages.generated</t>
        </is>
      </c>
      <c r="I4" s="42" t="n">
        <v>0</v>
      </c>
      <c r="J4" s="42" t="n"/>
      <c r="K4" s="49" t="n"/>
    </row>
    <row r="5" ht="15" customHeight="1" s="26">
      <c r="A5" s="42" t="inlineStr">
        <is>
          <t>P1</t>
        </is>
      </c>
      <c r="B5" s="42" t="inlineStr">
        <is>
          <t>A (structured)</t>
        </is>
      </c>
      <c r="C5" s="42" t="n">
        <v>3</v>
      </c>
      <c r="D5" s="42" t="inlineStr">
        <is>
          <t>420c015aece99c3da5f12330a49934a0</t>
        </is>
      </c>
      <c r="E5" s="42" t="n">
        <v>93</v>
      </c>
      <c r="F5" s="42" t="n">
        <v>3</v>
      </c>
      <c r="G5" s="42" t="n">
        <v>14</v>
      </c>
      <c r="H5" s="42" t="inlineStr">
        <is>
          <t>pages.generated</t>
        </is>
      </c>
      <c r="I5" s="42" t="n">
        <v>0</v>
      </c>
      <c r="J5" s="42" t="n"/>
      <c r="K5" s="50" t="n"/>
    </row>
    <row r="6" ht="15" customHeight="1" s="26">
      <c r="A6" s="42" t="inlineStr">
        <is>
          <t>P1</t>
        </is>
      </c>
      <c r="B6" s="42" t="inlineStr">
        <is>
          <t>B (naive LLM)</t>
        </is>
      </c>
      <c r="C6" s="42" t="n">
        <v>1</v>
      </c>
      <c r="D6" s="42" t="inlineStr">
        <is>
          <t>19ea0a03e15f29a27597d1037a04cb89</t>
        </is>
      </c>
      <c r="E6" s="42" t="n">
        <v>80</v>
      </c>
      <c r="F6" s="42" t="n">
        <v>11</v>
      </c>
      <c r="G6" s="42" t="n">
        <v>15</v>
      </c>
      <c r="H6" s="42" t="inlineStr">
        <is>
          <t>pages</t>
        </is>
      </c>
      <c r="I6" s="42" t="n">
        <v>617</v>
      </c>
      <c r="J6" s="42" t="n">
        <v>3125</v>
      </c>
      <c r="K6" s="48">
        <f>IF(AND(D6=D7,D7=D8),"YES — identical","NO — differs")</f>
        <v/>
      </c>
    </row>
    <row r="7" ht="15" customHeight="1" s="26">
      <c r="A7" s="42" t="inlineStr">
        <is>
          <t>P1</t>
        </is>
      </c>
      <c r="B7" s="42" t="inlineStr">
        <is>
          <t>B (naive LLM)</t>
        </is>
      </c>
      <c r="C7" s="42" t="n">
        <v>2</v>
      </c>
      <c r="D7" s="42" t="inlineStr">
        <is>
          <t>dedd5d2156b53a5b8d5400a90aa4fecc</t>
        </is>
      </c>
      <c r="E7" s="42" t="n">
        <v>52</v>
      </c>
      <c r="F7" s="42" t="n">
        <v>17</v>
      </c>
      <c r="G7" s="42" t="n">
        <v>18</v>
      </c>
      <c r="H7" s="42" t="inlineStr">
        <is>
          <t>pageobjects</t>
        </is>
      </c>
      <c r="I7" s="42" t="n">
        <v>772</v>
      </c>
      <c r="J7" s="42" t="n">
        <v>3342</v>
      </c>
      <c r="K7" s="49" t="n"/>
    </row>
    <row r="8" ht="15" customHeight="1" s="26">
      <c r="A8" s="42" t="inlineStr">
        <is>
          <t>P1</t>
        </is>
      </c>
      <c r="B8" s="42" t="inlineStr">
        <is>
          <t>B (naive LLM)</t>
        </is>
      </c>
      <c r="C8" s="42" t="n">
        <v>3</v>
      </c>
      <c r="D8" s="42" t="inlineStr">
        <is>
          <t>65662d40ba9231f22536578f36ffcdcb</t>
        </is>
      </c>
      <c r="E8" s="42" t="n">
        <v>50</v>
      </c>
      <c r="F8" s="42" t="n">
        <v>17</v>
      </c>
      <c r="G8" s="42" t="n">
        <v>20</v>
      </c>
      <c r="H8" s="42" t="inlineStr">
        <is>
          <t>pages</t>
        </is>
      </c>
      <c r="I8" s="42" t="n">
        <v>847</v>
      </c>
      <c r="J8" s="42" t="n">
        <v>2918</v>
      </c>
      <c r="K8" s="50" t="n"/>
    </row>
    <row r="10" ht="15" customHeight="1" s="26">
      <c r="A10" s="28" t="inlineStr">
        <is>
          <t>Prompt tokens were identical (13,115) on all three Pipeline B runs — the input did not vary. The output did.</t>
        </is>
      </c>
    </row>
    <row r="11" ht="15" customHeight="1" s="26">
      <c r="A11" s="28" t="inlineStr">
        <is>
          <t>Pipeline A output hashes computed after normalising the user-supplied class name, which is the only intended difference.</t>
        </is>
      </c>
    </row>
    <row r="12">
      <c r="A12" s="25" t="inlineStr">
        <is>
          <t>Normalisation, stated so the digests can be reproduced: the generated class name is replaced by 'X' and the file is hashed with md5. Five Pipeline A artefacts of this page exist and all five give 420c015aece99c3da5f12330a49934a0. Pipeline B digests are of the raw files. Reproduce: python3 evaluation/lib/measure.py</t>
        </is>
      </c>
    </row>
    <row r="13">
      <c r="A13" s="25" t="inlineStr">
        <is>
          <t>'Methods' in this sheet counts public methods excluding the constructor. Counting constructor + methods gives 15/18/20 for Pipeline B, which is the figure quoted in Chapter VI.</t>
        </is>
      </c>
    </row>
  </sheetData>
  <mergeCells count="3">
    <mergeCell ref="K3:K5"/>
    <mergeCell ref="A1:K1"/>
    <mergeCell ref="K6:K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5" min="1" max="1"/>
    <col width="14" customWidth="1" style="25" min="2" max="2"/>
    <col width="7" customWidth="1" style="25" min="3" max="3"/>
    <col width="13" customWidth="1" style="25" min="4" max="6"/>
    <col width="11" customWidth="1" style="25" min="7" max="7"/>
    <col width="10" customWidth="1" style="25" min="8" max="8"/>
    <col width="50" customWidth="1" style="25" min="9" max="9"/>
  </cols>
  <sheetData>
    <row r="1" ht="17.35" customHeight="1" s="26">
      <c r="A1" s="36" t="inlineStr">
        <is>
          <t>COST PER PAGE OBJECT</t>
        </is>
      </c>
    </row>
    <row r="2" ht="26.85" customHeight="1" s="26">
      <c r="A2" s="38" t="inlineStr">
        <is>
          <t>Page</t>
        </is>
      </c>
      <c r="B2" s="38" t="inlineStr">
        <is>
          <t>Pipeline</t>
        </is>
      </c>
      <c r="C2" s="38" t="inlineStr">
        <is>
          <t>Run</t>
        </is>
      </c>
      <c r="D2" s="38" t="inlineStr">
        <is>
          <t>Prompt tokens</t>
        </is>
      </c>
      <c r="E2" s="38" t="inlineStr">
        <is>
          <t>Output tokens</t>
        </is>
      </c>
      <c r="F2" s="38" t="inlineStr">
        <is>
          <t>Total tokens</t>
        </is>
      </c>
      <c r="G2" s="38" t="inlineStr">
        <is>
          <t>Latency ms</t>
        </is>
      </c>
      <c r="H2" s="38" t="inlineStr">
        <is>
          <t>API calls</t>
        </is>
      </c>
      <c r="I2" s="38" t="inlineStr">
        <is>
          <t>Notes</t>
        </is>
      </c>
    </row>
    <row r="3" ht="23.85" customHeight="1" s="26">
      <c r="A3" s="42" t="inlineStr">
        <is>
          <t>P1</t>
        </is>
      </c>
      <c r="B3" s="42" t="inlineStr">
        <is>
          <t>A (structured)</t>
        </is>
      </c>
      <c r="C3" s="42" t="n">
        <v>1</v>
      </c>
      <c r="D3" s="42" t="n">
        <v>0</v>
      </c>
      <c r="E3" s="42" t="n">
        <v>0</v>
      </c>
      <c r="F3" s="42" t="n">
        <v>0</v>
      </c>
      <c r="G3" s="42" t="n">
        <v>0</v>
      </c>
      <c r="H3" s="42" t="n">
        <v>0</v>
      </c>
      <c r="I3" s="46" t="inlineStr">
        <is>
          <t>0 low-confidence selectors, so nothing was escalated to the LLM. No model call was made, so there is no latency to report.</t>
        </is>
      </c>
    </row>
    <row r="4" ht="15" customHeight="1" s="26">
      <c r="A4" s="42" t="inlineStr">
        <is>
          <t>P1</t>
        </is>
      </c>
      <c r="B4" s="42" t="inlineStr">
        <is>
          <t>B (naive LLM)</t>
        </is>
      </c>
      <c r="C4" s="42" t="n">
        <v>1</v>
      </c>
      <c r="D4" s="42" t="n">
        <v>13115</v>
      </c>
      <c r="E4" s="42" t="n">
        <v>617</v>
      </c>
      <c r="F4" s="45">
        <f>D4+E4</f>
        <v/>
      </c>
      <c r="G4" s="42" t="n">
        <v>3125</v>
      </c>
      <c r="H4" s="42" t="n">
        <v>1</v>
      </c>
      <c r="I4" s="46" t="inlineStr">
        <is>
          <t>Whole page HTML sent as prompt.</t>
        </is>
      </c>
    </row>
    <row r="5" ht="15" customHeight="1" s="26">
      <c r="A5" s="42" t="inlineStr">
        <is>
          <t>P1</t>
        </is>
      </c>
      <c r="B5" s="42" t="inlineStr">
        <is>
          <t>B (naive LLM)</t>
        </is>
      </c>
      <c r="C5" s="42" t="n">
        <v>2</v>
      </c>
      <c r="D5" s="42" t="n">
        <v>13115</v>
      </c>
      <c r="E5" s="42" t="n">
        <v>772</v>
      </c>
      <c r="F5" s="45">
        <f>D5+E5</f>
        <v/>
      </c>
      <c r="G5" s="42" t="n">
        <v>3342</v>
      </c>
      <c r="H5" s="42" t="n">
        <v>1</v>
      </c>
      <c r="I5" s="46" t="n"/>
    </row>
    <row r="6" ht="15" customHeight="1" s="26">
      <c r="A6" s="42" t="inlineStr">
        <is>
          <t>P1</t>
        </is>
      </c>
      <c r="B6" s="42" t="inlineStr">
        <is>
          <t>B (naive LLM)</t>
        </is>
      </c>
      <c r="C6" s="42" t="n">
        <v>3</v>
      </c>
      <c r="D6" s="42" t="n">
        <v>13115</v>
      </c>
      <c r="E6" s="42" t="n">
        <v>847</v>
      </c>
      <c r="F6" s="45">
        <f>D6+E6</f>
        <v/>
      </c>
      <c r="G6" s="42" t="n">
        <v>2918</v>
      </c>
      <c r="H6" s="42" t="n">
        <v>1</v>
      </c>
      <c r="I6" s="46" t="n"/>
    </row>
    <row r="8" ht="15" customHeight="1" s="26">
      <c r="B8" s="29" t="inlineStr">
        <is>
          <t>TOTAL Pipeline B, page P1, 3 runs</t>
        </is>
      </c>
      <c r="F8" s="51">
        <f>SUM(F4:F6)</f>
        <v/>
      </c>
    </row>
    <row r="9" ht="15" customHeight="1" s="26">
      <c r="B9" s="29" t="inlineStr">
        <is>
          <t>TOTAL Pipeline A, page P1, 3 runs</t>
        </is>
      </c>
      <c r="F9" s="52" t="n">
        <v>0</v>
      </c>
    </row>
    <row r="11" ht="15" customHeight="1" s="26">
      <c r="B11" s="28" t="inlineStr">
        <is>
          <t>Convert tokens to currency using the model's published price per 1M tokens at the date of the runs. Cite the source in the report.</t>
        </is>
      </c>
    </row>
  </sheetData>
  <mergeCells count="1">
    <mergeCell ref="A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25" min="1" max="1"/>
    <col width="7" customWidth="1" style="25" min="2" max="2"/>
    <col width="14" customWidth="1" style="25" min="3" max="3"/>
    <col width="11" customWidth="1" style="25" min="4" max="4"/>
    <col width="44" customWidth="1" style="25" min="5" max="5"/>
    <col width="58" customWidth="1" style="25" min="6" max="6"/>
    <col width="44" customWidth="1" style="25" min="7" max="7"/>
  </cols>
  <sheetData>
    <row r="1" ht="17.35" customHeight="1" s="26">
      <c r="A1" s="36" t="inlineStr">
        <is>
          <t>DEFECT LOG — concrete, quotable evidence for Chapter VI</t>
        </is>
      </c>
    </row>
    <row r="2" ht="15" customHeight="1" s="26">
      <c r="A2" s="38" t="inlineStr">
        <is>
          <t>ID</t>
        </is>
      </c>
      <c r="B2" s="38" t="inlineStr">
        <is>
          <t>Page</t>
        </is>
      </c>
      <c r="C2" s="38" t="inlineStr">
        <is>
          <t>Pipeline</t>
        </is>
      </c>
      <c r="D2" s="38" t="inlineStr">
        <is>
          <t>Severity</t>
        </is>
      </c>
      <c r="E2" s="38" t="inlineStr">
        <is>
          <t>Defect</t>
        </is>
      </c>
      <c r="F2" s="38" t="inlineStr">
        <is>
          <t>Evidence (verbatim from output)</t>
        </is>
      </c>
      <c r="G2" s="38" t="inlineStr">
        <is>
          <t>Why it matters</t>
        </is>
      </c>
    </row>
    <row r="3" ht="57.75" customHeight="1" s="26">
      <c r="A3" s="39" t="inlineStr">
        <is>
          <t>D1</t>
        </is>
      </c>
      <c r="B3" s="40" t="inlineStr">
        <is>
          <t>P1</t>
        </is>
      </c>
      <c r="C3" s="40" t="inlineStr">
        <is>
          <t>B (naive LLM)</t>
        </is>
      </c>
      <c r="D3" s="39" t="inlineStr">
        <is>
          <t>Critical</t>
        </is>
      </c>
      <c r="E3" s="40" t="inlineStr">
        <is>
          <t>Hallucinated a Selenium API that does not exist.</t>
        </is>
      </c>
      <c r="F3" s="40" t="inlineStr">
        <is>
          <t>private final By inventorySidebarLink = By.dataTest("inventory-sidebar-link");   [11x in run 1, 15x in run 2]</t>
        </is>
      </c>
      <c r="G3" s="40" t="inlineStr">
        <is>
          <t>By.dataTest() is not a method on org.openqa.selenium.By. Runs 1 and 2 do not compile. Compilation success rate 1/3.</t>
        </is>
      </c>
    </row>
    <row r="4" ht="57.75" customHeight="1" s="26">
      <c r="A4" s="39" t="inlineStr">
        <is>
          <t>D2</t>
        </is>
      </c>
      <c r="B4" s="40" t="inlineStr">
        <is>
          <t>P1</t>
        </is>
      </c>
      <c r="C4" s="40" t="inlineStr">
        <is>
          <t>B (naive LLM)</t>
        </is>
      </c>
      <c r="D4" s="39" t="inlineStr">
        <is>
          <t>High</t>
        </is>
      </c>
      <c r="E4" s="40" t="inlineStr">
        <is>
          <t>Non-deterministic output from identical input.</t>
        </is>
      </c>
      <c r="F4" s="40" t="inlineStr">
        <is>
          <t>3 runs -&gt; 3 different md5 hashes; 80/52/50 lines; 11/17/17 fields; package 'pages' vs 'pageobjects'.</t>
        </is>
      </c>
      <c r="G4" s="40" t="inlineStr">
        <is>
          <t>The same command produces different code each time. Not reproducible, not reviewable, not diffable in version control.</t>
        </is>
      </c>
    </row>
    <row r="5" ht="57.75" customHeight="1" s="26">
      <c r="A5" s="39" t="inlineStr">
        <is>
          <t>D3</t>
        </is>
      </c>
      <c r="B5" s="40" t="inlineStr">
        <is>
          <t>P1</t>
        </is>
      </c>
      <c r="C5" s="40" t="inlineStr">
        <is>
          <t>B (naive LLM)</t>
        </is>
      </c>
      <c r="D5" s="39" t="inlineStr">
        <is>
          <t>High</t>
        </is>
      </c>
      <c r="E5" s="40" t="inlineStr">
        <is>
          <t>Wrong interaction pattern for a &lt;select&gt; element (all 3 runs).</t>
        </is>
      </c>
      <c r="F5" s="40" t="inlineStr">
        <is>
          <t>public void selectProductSort(String value) { type(productSortDropdown, value); }</t>
        </is>
      </c>
      <c r="G5" s="40" t="inlineStr">
        <is>
          <t>product-sort-container is a &lt;select&gt;. clear()+sendKeys() is invalid on it; Selenium requires the Select class. A consistent semantic error, not a random one.</t>
        </is>
      </c>
    </row>
    <row r="6" ht="57.75" customHeight="1" s="26">
      <c r="A6" s="39" t="inlineStr">
        <is>
          <t>D4</t>
        </is>
      </c>
      <c r="B6" s="40" t="inlineStr">
        <is>
          <t>P1</t>
        </is>
      </c>
      <c r="C6" s="40" t="inlineStr">
        <is>
          <t>B (naive LLM)</t>
        </is>
      </c>
      <c r="D6" s="39" t="inlineStr">
        <is>
          <t>High</t>
        </is>
      </c>
      <c r="E6" s="40" t="inlineStr">
        <is>
          <t>Fabricated a locator and documented the guess.</t>
        </is>
      </c>
      <c r="F6" s="40" t="inlineStr">
        <is>
          <t>// Assuming price is accessed via container or specific element within item
//div[@data-test='inventory-item-&lt;id&gt;']//div[@data-test='inventory-item-price']</t>
        </is>
      </c>
      <c r="G6" s="40" t="inlineStr">
        <is>
          <t>That attribute does not exist on the page. The locator can never match. The model stated its own uncertainty in a comment rather than omitting the method.</t>
        </is>
      </c>
    </row>
    <row r="7" ht="57.75" customHeight="1" s="26">
      <c r="A7" s="39" t="inlineStr">
        <is>
          <t>D5</t>
        </is>
      </c>
      <c r="B7" s="40" t="inlineStr">
        <is>
          <t>P1</t>
        </is>
      </c>
      <c r="C7" s="40" t="inlineStr">
        <is>
          <t>B (naive LLM)</t>
        </is>
      </c>
      <c r="D7" s="39" t="inlineStr">
        <is>
          <t>Medium</t>
        </is>
      </c>
      <c r="E7" s="40" t="inlineStr">
        <is>
          <t>External service unavailability aborted a full run.</t>
        </is>
      </c>
      <c r="F7" s="40" t="inlineStr">
        <is>
          <t>java.io.IOException: Gemini API call failed: 503 ... "This model is currently experiencing high demand."</t>
        </is>
      </c>
      <c r="G7" s="40" t="inlineStr">
        <is>
          <t>Cost the entire run including the manual login step. Pipeline A made 0 API calls on this page and cannot fail this way. Retry with backoff was added afterwards.</t>
        </is>
      </c>
    </row>
    <row r="8" ht="57.75" customHeight="1" s="26">
      <c r="A8" s="39" t="inlineStr">
        <is>
          <t>D6</t>
        </is>
      </c>
      <c r="B8" s="40" t="inlineStr">
        <is>
          <t>P1</t>
        </is>
      </c>
      <c r="C8" s="40" t="inlineStr">
        <is>
          <t>A (structured)</t>
        </is>
      </c>
      <c r="D8" s="39" t="inlineStr">
        <is>
          <t>Medium</t>
        </is>
      </c>
      <c r="E8" s="40" t="inlineStr">
        <is>
          <t>Component role named from instance-specific text.</t>
        </is>
      </c>
      <c r="F8" s="40" t="inlineStr">
        <is>
          <t>public void clickSauceLabsBackpack() { root.findElement(By.xpath(".//a[contains(normalize-space(.), 'Sauce Labs Backpack')]")); }</t>
        </is>
      </c>
      <c r="G8" s="40" t="inlineStr">
        <is>
          <t>The role name and selector come from card #1's product title, which is data, not a role. Calling it on any other card throws NoSuchElementException. Fix: use text as a role name only when it is invariant across all detected instances.</t>
        </is>
      </c>
    </row>
    <row r="9" ht="57.75" customHeight="1" s="26">
      <c r="A9" s="39" t="inlineStr">
        <is>
          <t>D7</t>
        </is>
      </c>
      <c r="B9" s="40" t="inlineStr">
        <is>
          <t>P1</t>
        </is>
      </c>
      <c r="C9" s="40" t="inlineStr">
        <is>
          <t>B (naive LLM)</t>
        </is>
      </c>
      <c r="D9" s="39" t="inlineStr">
        <is>
          <t>Low</t>
        </is>
      </c>
      <c r="E9" s="40" t="inlineStr">
        <is>
          <t>Inconsistent locator strategy between runs despite identical prompt guidance.</t>
        </is>
      </c>
      <c r="F9" s="40" t="inlineStr">
        <is>
          <t>Run 3 used By.id("add-to-cart-sauce-labs-backpack"); runs 1-2 used a data-test based approach.</t>
        </is>
      </c>
      <c r="G9" s="40" t="inlineStr">
        <is>
          <t>The prompt explicitly asked to prefer data-test. Adherence to instructions varied run to run.</t>
        </is>
      </c>
    </row>
    <row r="10">
      <c r="A10" s="53" t="inlineStr">
        <is>
          <t>D8</t>
        </is>
      </c>
      <c r="B10" s="53" t="inlineStr">
        <is>
          <t>P1</t>
        </is>
      </c>
      <c r="C10" s="53" t="inlineStr">
        <is>
          <t>A (structured)</t>
        </is>
      </c>
      <c r="D10" s="53" t="inlineStr">
        <is>
          <t>High</t>
        </is>
      </c>
      <c r="E10" s="53" t="inlineStr">
        <is>
          <t>Component role locator can never resolve when the repeating card IS the interactive element.</t>
        </is>
      </c>
      <c r="F10" s="53" t="inlineStr">
        <is>
          <t>public void clickAllItems() { WebElement el = root.findElement(By.cssSelector("a.bm-item")); ... }  // root is itself the &lt;a class="bm-item"&gt;</t>
        </is>
      </c>
      <c r="G10" s="53" t="inlineStr">
        <is>
          <t>jsoup's Element.select() is self-inclusive; Selenium's WebElement.findElement() searches descendants only. Measured against the captured DOM: 0 of 4 instances resolve, so every call throws NoSuchElementException. Not detected during the campaign because no test exercised the menu component. Fixed after the campaign: when the element is the card root, the root is acted on directly.</t>
        </is>
      </c>
    </row>
    <row r="11" ht="15" customHeight="1" s="26">
      <c r="A11" s="53" t="inlineStr">
        <is>
          <t>D9</t>
        </is>
      </c>
      <c r="B11" s="54" t="inlineStr">
        <is>
          <t>P4-P6</t>
        </is>
      </c>
      <c r="C11" s="53" t="inlineStr">
        <is>
          <t>A (structured)</t>
        </is>
      </c>
      <c r="D11" s="53" t="inlineStr">
        <is>
          <t>High</t>
        </is>
      </c>
      <c r="E11" s="53" t="inlineStr">
        <is>
          <t>A data-qa element produced a [data-test='...'] locator.</t>
        </is>
      </c>
      <c r="F11" s="53" t="inlineStr">
        <is>
          <t>SelectorPriorityFinder.tryDataTest emitted "[data-test='" + value + "']" regardless of which configured attribute actually matched.</t>
        </is>
      </c>
      <c r="G11" s="53" t="inlineStr">
        <is>
          <t>The recognised attribute names were configurable but the emitted attribute name was not, so on any site using data-qa every attribute-matched locator was valid syntax that could never match. Latent on P1 (SauceDemo uses data-test throughout). Fixed after the campaign: the attribute name is carried on the element and emitted. Regression test: SelectorPriorityFinderTest.dataQaElementProducesADataQaSelectorNotADataTestOne.</t>
        </is>
      </c>
    </row>
    <row r="12">
      <c r="A12" s="53" t="inlineStr">
        <is>
          <t>D10</t>
        </is>
      </c>
      <c r="B12" s="53" t="inlineStr">
        <is>
          <t>P1</t>
        </is>
      </c>
      <c r="C12" s="53" t="inlineStr">
        <is>
          <t>A (structured)</t>
        </is>
      </c>
      <c r="D12" s="53" t="inlineStr">
        <is>
          <t>Medium</t>
        </is>
      </c>
      <c r="E12" s="53" t="inlineStr">
        <is>
          <t>&lt;select&gt; elements are not extracted at all.</t>
        </is>
      </c>
      <c r="F12" s="53" t="inlineStr">
        <is>
          <t>HtmlParser.extractFrom collects only input, button and a. The page's &lt;select data-test='product-sort-container'&gt; is invisible to the pipeline.</t>
        </is>
      </c>
      <c r="G12" s="53" t="inlineStr">
        <is>
          <t>The one dimension on which the baseline has broader raw coverage: Pipeline B did capture the dropdown, though it then interacted with it incorrectly (D3). Recorded as a scope limitation, not fixed, because correct &lt;select&gt; support needs the Select class rather than click/type.</t>
        </is>
      </c>
    </row>
    <row r="13">
      <c r="A13" s="53" t="inlineStr">
        <is>
          <t>D11</t>
        </is>
      </c>
      <c r="B13" s="53" t="inlineStr">
        <is>
          <t>P1</t>
        </is>
      </c>
      <c r="C13" s="53" t="inlineStr">
        <is>
          <t>A (structured)</t>
        </is>
      </c>
      <c r="D13" s="53" t="inlineStr">
        <is>
          <t>Medium</t>
        </is>
      </c>
      <c r="E13" s="53" t="inlineStr">
        <is>
          <t>Emitted locators were not escaped for either of the two languages they land in.</t>
        </is>
      </c>
      <c r="F13" s="53" t="inlineStr">
        <is>
          <t>By.xpath("//a[contains(normalize-space(.), '" + text + "')]") with text taken verbatim from the page.</t>
        </is>
      </c>
      <c r="G13" s="53" t="inlineStr">
        <is>
          <t>Text containing an apostrophe (Women's Dresses) yields an XPath the browser rejects at run time; text containing a double quote breaks the Java string and the build. Latent: neither target page happened to contain such text. Fixed after the campaign; regression tests in PageObjectGeneratorTest.</t>
        </is>
      </c>
    </row>
    <row r="14">
      <c r="A14" s="53" t="inlineStr">
        <is>
          <t>D12</t>
        </is>
      </c>
      <c r="B14" s="53" t="inlineStr">
        <is>
          <t>P1</t>
        </is>
      </c>
      <c r="C14" s="53" t="inlineStr">
        <is>
          <t>B (naive LLM)</t>
        </is>
      </c>
      <c r="D14" s="53" t="inlineStr">
        <is>
          <t>Low</t>
        </is>
      </c>
      <c r="E14" s="53" t="inlineStr">
        <is>
          <t>When the baseline compiled, all of its locators were correct.</t>
        </is>
      </c>
      <c r="F14" s="53" t="inlineStr">
        <is>
          <t>Run 3: 19 of 19 locators resolve against the captured DOM.</t>
        </is>
      </c>
      <c r="G14" s="53" t="inlineStr">
        <is>
          <t>Recorded because it cuts against this project's own system. The baseline's weakness on this page is reproducibility and compilability, not an inability to read the page. Reporting only its failures would misdescribe the result.</t>
        </is>
      </c>
    </row>
    <row r="15">
      <c r="A15" s="25" t="inlineStr">
        <is>
          <t>D8-D12 were found by a systematic post-campaign audit in which every retained artefact was re-examined and every emitted locator was evaluated against the captured DOM. See evaluation/.</t>
        </is>
      </c>
    </row>
  </sheetData>
  <mergeCells count="1">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2026-07-31T20:52:46Z</dcterms:created>
  <dcterms:modified xmlns:dcterms="http://purl.org/dc/terms/" xmlns:xsi="http://www.w3.org/2001/XMLSchema-instance" xsi:type="dcterms:W3CDTF">2026-08-08T15:03:31Z</dcterms:modified>
  <cp:revision>0</cp:revision>
</cp:coreProperties>
</file>